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hare\PocketSDR\FE_8CH_12bit\HW\v5.0\"/>
    </mc:Choice>
  </mc:AlternateContent>
  <xr:revisionPtr revIDLastSave="0" documentId="13_ncr:1_{2733B3D0-18F2-488B-99E1-0985A817DEDF}" xr6:coauthVersionLast="47" xr6:coauthVersionMax="47" xr10:uidLastSave="{00000000-0000-0000-0000-000000000000}"/>
  <bookViews>
    <workbookView xWindow="24264" yWindow="60" windowWidth="21972" windowHeight="21432" xr2:uid="{AF6D1DB7-E9DC-491F-8137-1804E8B9D035}"/>
  </bookViews>
  <sheets>
    <sheet name="v1.0_parts" sheetId="1" r:id="rId1"/>
  </sheets>
  <calcPr calcId="191029"/>
</workbook>
</file>

<file path=xl/calcChain.xml><?xml version="1.0" encoding="utf-8"?>
<calcChain xmlns="http://schemas.openxmlformats.org/spreadsheetml/2006/main">
  <c r="H32" i="1" l="1"/>
  <c r="H27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1" i="1"/>
  <c r="H30" i="1"/>
  <c r="H29" i="1"/>
  <c r="H28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H69" i="1" l="1"/>
</calcChain>
</file>

<file path=xl/sharedStrings.xml><?xml version="1.0" encoding="utf-8"?>
<sst xmlns="http://schemas.openxmlformats.org/spreadsheetml/2006/main" count="396" uniqueCount="318">
  <si>
    <t>Reference</t>
  </si>
  <si>
    <t>Value</t>
  </si>
  <si>
    <t>Qty</t>
  </si>
  <si>
    <t>AR2,AR3,AR6</t>
  </si>
  <si>
    <t>AR4</t>
  </si>
  <si>
    <t>AR5</t>
  </si>
  <si>
    <t>C1,C2,C3,C4,C33,C34,C35,C36,C71,C72,C86,C87,C104,C105,C122,C123</t>
  </si>
  <si>
    <t>100pF</t>
  </si>
  <si>
    <t>0.1uF</t>
  </si>
  <si>
    <t>C9,C10,C11,C12,C41,C42,C43,C44</t>
  </si>
  <si>
    <t>C13,C14,C15,C16,C45,C46,C47,C48</t>
  </si>
  <si>
    <t>1.7pF</t>
  </si>
  <si>
    <t>C17,C18,C19,C20,C49,C50,C51,C52</t>
  </si>
  <si>
    <t>C21,C22,C23,C24,C53,C54,C55,C56</t>
  </si>
  <si>
    <t>750pF</t>
  </si>
  <si>
    <t>C25,C26,C27,C28,C57,C58,C59,C60</t>
  </si>
  <si>
    <t>15pF</t>
  </si>
  <si>
    <t>C29,C30,C31,C32,C61,C62,C63,C64,C66</t>
  </si>
  <si>
    <t>0.01uF</t>
  </si>
  <si>
    <t>C67,C81,C164,C175,C190</t>
  </si>
  <si>
    <t>1uF</t>
  </si>
  <si>
    <t>C84,C85</t>
  </si>
  <si>
    <t>13pF</t>
  </si>
  <si>
    <t>C89,C143,C146,C149,C152,C155,C158,C159</t>
  </si>
  <si>
    <t>10pF</t>
  </si>
  <si>
    <t>C93,C94,C98,C99,C166,C167,C169,C171,C172,C179,C180,C181</t>
  </si>
  <si>
    <t>22uF</t>
  </si>
  <si>
    <t>C125,C129,C133,C170,C173,C177,C182</t>
  </si>
  <si>
    <t>4.7uF</t>
  </si>
  <si>
    <t>C165</t>
  </si>
  <si>
    <t>100uF</t>
  </si>
  <si>
    <t>C168,C192,C193,C194</t>
  </si>
  <si>
    <t>47uF</t>
  </si>
  <si>
    <t>C178,C183,C184,C185,C186,C187,C188,C189,C195,C196,C197</t>
  </si>
  <si>
    <t>0.47uF</t>
  </si>
  <si>
    <t>F1</t>
  </si>
  <si>
    <t>F9,F10</t>
  </si>
  <si>
    <t>FB1</t>
  </si>
  <si>
    <t>J1,J2,J3,J4,J6,J7,J8,J9</t>
  </si>
  <si>
    <t>J5,J13</t>
  </si>
  <si>
    <t>PINH_2MM_3P</t>
  </si>
  <si>
    <t>J10</t>
  </si>
  <si>
    <t>PINH_2MM_2P</t>
  </si>
  <si>
    <t>J11</t>
  </si>
  <si>
    <t>L1,L2,L3,L4,L9,L10,L11,L12</t>
  </si>
  <si>
    <t>L5,L6,L7,L8,L13,L14,L15,L16</t>
  </si>
  <si>
    <t>L17,L18,L20</t>
  </si>
  <si>
    <t>LED2,LED3,LED4,LED5,LED6</t>
  </si>
  <si>
    <t>LED1608</t>
  </si>
  <si>
    <t>PAD2,PAD3,PAD4,PAD5,PAD6</t>
  </si>
  <si>
    <t>CPAD_3.2MM</t>
  </si>
  <si>
    <t>R1,R2,R3,R4,R9,R10,R11,R12</t>
  </si>
  <si>
    <t>15K</t>
  </si>
  <si>
    <t>R5,R6,R7,R8,R13,R14,R15,R16,R17,R70</t>
  </si>
  <si>
    <t>10K</t>
  </si>
  <si>
    <t>R18,R19</t>
  </si>
  <si>
    <t>2.2K</t>
  </si>
  <si>
    <t>R21,R30,R31,R34,R35,R38,R39,R53,R54,R55,R58,R59,R62,R63,R66,R67</t>
  </si>
  <si>
    <t>5K 1%</t>
  </si>
  <si>
    <t>R22</t>
  </si>
  <si>
    <t>6.04K 1%</t>
  </si>
  <si>
    <t>R23</t>
  </si>
  <si>
    <t>200 1%</t>
  </si>
  <si>
    <t>R24,R48</t>
  </si>
  <si>
    <t>100K</t>
  </si>
  <si>
    <t>R25</t>
  </si>
  <si>
    <t>316K 1%</t>
  </si>
  <si>
    <t>R26,R27</t>
  </si>
  <si>
    <t>5.1K</t>
  </si>
  <si>
    <t>R28,R29,R32,R33,R36,R37,R40,R41,R42,R43,R56,R57,R60,R61,R64,R65</t>
  </si>
  <si>
    <t>470 1%</t>
  </si>
  <si>
    <t>R44</t>
  </si>
  <si>
    <t>66.5K 1%</t>
  </si>
  <si>
    <t>R45,R46,R47,R71</t>
  </si>
  <si>
    <t>100K 1%</t>
  </si>
  <si>
    <t>R49</t>
  </si>
  <si>
    <t>R51,R68</t>
  </si>
  <si>
    <t>4.7K</t>
  </si>
  <si>
    <t>R52</t>
  </si>
  <si>
    <t>1K</t>
  </si>
  <si>
    <t>R69</t>
  </si>
  <si>
    <t>10K 1%</t>
  </si>
  <si>
    <t>TCXO1</t>
  </si>
  <si>
    <t>TP1</t>
  </si>
  <si>
    <t>U1,U2,U3,U4,U5,U6,U7,U8</t>
  </si>
  <si>
    <t>U9</t>
  </si>
  <si>
    <t>U10</t>
  </si>
  <si>
    <t>U11</t>
  </si>
  <si>
    <t>U12</t>
  </si>
  <si>
    <t>U13,U22,U23</t>
  </si>
  <si>
    <t>U14</t>
  </si>
  <si>
    <t>U15</t>
  </si>
  <si>
    <t>U16</t>
  </si>
  <si>
    <t>U17</t>
  </si>
  <si>
    <t>U18</t>
  </si>
  <si>
    <t>U20</t>
  </si>
  <si>
    <t>XTAL1</t>
  </si>
  <si>
    <t>No</t>
    <phoneticPr fontId="18"/>
  </si>
  <si>
    <t>TP1,TP2,TP3,TP4,TP5,TP6,TP7,TP8,TP9,TP10,TP11,TP12,TP13,TP14,TP15</t>
    <phoneticPr fontId="18"/>
  </si>
  <si>
    <t>PINH_2.54mm_6P</t>
    <phoneticPr fontId="18"/>
  </si>
  <si>
    <t>S1,S2</t>
    <phoneticPr fontId="18"/>
  </si>
  <si>
    <t>J12</t>
    <phoneticPr fontId="18"/>
  </si>
  <si>
    <t>LED 1608</t>
    <phoneticPr fontId="18"/>
  </si>
  <si>
    <t>Xtal 19.2 MHz</t>
    <phoneticPr fontId="18"/>
  </si>
  <si>
    <t>USB-C 24P</t>
    <phoneticPr fontId="18"/>
  </si>
  <si>
    <t>100 Ohm</t>
    <phoneticPr fontId="18"/>
  </si>
  <si>
    <t>Pinheader 2mm 3P</t>
    <phoneticPr fontId="18"/>
  </si>
  <si>
    <t>Pinheader 2.54mm 6P</t>
    <phoneticPr fontId="18"/>
  </si>
  <si>
    <t>Pinheader 2mm 2P</t>
    <phoneticPr fontId="18"/>
  </si>
  <si>
    <t>Buck regulator 1A SOT563</t>
    <phoneticPr fontId="18"/>
  </si>
  <si>
    <t>USB3 MUX/DEMUX</t>
    <phoneticPr fontId="18"/>
  </si>
  <si>
    <t>Choke coil 2.2uH</t>
    <phoneticPr fontId="18"/>
  </si>
  <si>
    <t>DLM0NSN500HY2</t>
    <phoneticPr fontId="18"/>
  </si>
  <si>
    <t>CMCC (common mode choke coil)</t>
    <phoneticPr fontId="18"/>
  </si>
  <si>
    <t>Reset Fuse 9V 200mA 1608</t>
    <phoneticPr fontId="18"/>
  </si>
  <si>
    <t>FEMTOSMDC020F-2</t>
    <phoneticPr fontId="18"/>
  </si>
  <si>
    <t>Ferrite Beads 1A 1608</t>
    <phoneticPr fontId="18"/>
  </si>
  <si>
    <t>Inductor 68nH 1608 Q=38 SRF=2.2GHz</t>
    <phoneticPr fontId="18"/>
  </si>
  <si>
    <t>Octal 14bit ADC serial 40MHz</t>
    <phoneticPr fontId="18"/>
  </si>
  <si>
    <t>74LVC1G04W5-7</t>
    <phoneticPr fontId="18"/>
  </si>
  <si>
    <t>LVCMOS inverter 1P SOT25</t>
    <phoneticPr fontId="18"/>
  </si>
  <si>
    <t>5PB1110PGG</t>
    <phoneticPr fontId="18"/>
  </si>
  <si>
    <t>LVCMOS clock buffer 10P 20TSSOP</t>
    <phoneticPr fontId="18"/>
  </si>
  <si>
    <t>Inductor 5.6nH 1005</t>
    <phoneticPr fontId="18"/>
  </si>
  <si>
    <t>C1608</t>
    <phoneticPr fontId="18"/>
  </si>
  <si>
    <t>C3216</t>
    <phoneticPr fontId="18"/>
  </si>
  <si>
    <t>MS448-10F</t>
    <phoneticPr fontId="18"/>
  </si>
  <si>
    <t>EMI Shield</t>
    <phoneticPr fontId="18"/>
  </si>
  <si>
    <t>S1C,S2C</t>
    <phoneticPr fontId="18"/>
  </si>
  <si>
    <t>MS448-10C</t>
    <phoneticPr fontId="18"/>
  </si>
  <si>
    <t>EMI Shield Cover</t>
    <phoneticPr fontId="18"/>
  </si>
  <si>
    <t>Pad 3.2mm</t>
    <phoneticPr fontId="18"/>
  </si>
  <si>
    <t>Testpoint 0.5mm</t>
    <phoneticPr fontId="18"/>
  </si>
  <si>
    <t>R1005</t>
    <phoneticPr fontId="18"/>
  </si>
  <si>
    <t>C1005</t>
    <phoneticPr fontId="18"/>
  </si>
  <si>
    <t>C1005 C0G</t>
    <phoneticPr fontId="18"/>
  </si>
  <si>
    <t>URL</t>
    <phoneticPr fontId="18"/>
  </si>
  <si>
    <t>Digikey No</t>
    <phoneticPr fontId="18"/>
  </si>
  <si>
    <t>AMD</t>
    <phoneticPr fontId="18"/>
  </si>
  <si>
    <t>ADI</t>
    <phoneticPr fontId="18"/>
  </si>
  <si>
    <t>MAX2771ETI+</t>
    <phoneticPr fontId="18"/>
  </si>
  <si>
    <t>RF RX GNSS</t>
    <phoneticPr fontId="18"/>
  </si>
  <si>
    <t>MAX2771ETI+-ND</t>
  </si>
  <si>
    <t>https://www.digikey.jp/ja/products/detail/analog-devices-inc-maxim-integrated/MAX2771ETI/9599235</t>
  </si>
  <si>
    <t>AD9257BCPZ-40</t>
    <phoneticPr fontId="18"/>
  </si>
  <si>
    <t>505-AD9257BCPZ-40-ND</t>
  </si>
  <si>
    <t>https://www.digikey.jp/ja/products/detail/analog-devices-inc/AD9257BCPZ-40/2773681?s=N4IgTCBcDaIIIBECcYCsB2AQgYQAoC0BaAFgAYQBdAXyA</t>
  </si>
  <si>
    <t>XC7S15-1FTGB196C</t>
    <phoneticPr fontId="18"/>
  </si>
  <si>
    <t>122-2226-ND</t>
  </si>
  <si>
    <t>Price</t>
    <phoneticPr fontId="18"/>
  </si>
  <si>
    <t>https://www.digikey.jp/ja/products/detail/amd/XC7S15-1FTGB196C/9380262?s=N4IgTCBcDaIBoGEDsBlAjAVgLRoGIBUBxAITQE4A2BEAXQF8g</t>
  </si>
  <si>
    <t>CYUSB3014-BZXC</t>
    <phoneticPr fontId="18"/>
  </si>
  <si>
    <t>FPGA Spartan-7 196LBGA</t>
    <phoneticPr fontId="18"/>
  </si>
  <si>
    <t>Infineon</t>
    <phoneticPr fontId="18"/>
  </si>
  <si>
    <t>448-CYUSB3014-BZXC-ND</t>
  </si>
  <si>
    <t>https://www.digikey.jp/ja/products/detail/infineon-technologies/CYUSB3014-BZXC/3679585</t>
  </si>
  <si>
    <t>USB Controller EZ USB-FX3 121FBGA</t>
    <phoneticPr fontId="18"/>
  </si>
  <si>
    <t>IS25LP032D-JNLE</t>
    <phoneticPr fontId="18"/>
  </si>
  <si>
    <t>SPI Flash 32Mbit 2.3-3.6V 8SOIC 150mil</t>
    <phoneticPr fontId="18"/>
  </si>
  <si>
    <t>ISSI</t>
    <phoneticPr fontId="18"/>
  </si>
  <si>
    <t>706-1607-2-ND </t>
  </si>
  <si>
    <t>https://www.digikey.jp/ja/products/detail/issi-integrated-silicon-solution-inc/IS25LP032D-JNLE-TR/6624246</t>
  </si>
  <si>
    <t>AT24CM01-XHM</t>
    <phoneticPr fontId="18"/>
  </si>
  <si>
    <t>Microchip</t>
    <phoneticPr fontId="18"/>
  </si>
  <si>
    <t>AT24CM01-XHM-TTR-ND</t>
  </si>
  <si>
    <t>https://www.digikey.jp/ja/products/detail/microchip-technology/AT24CM01-XHM-T/3913189</t>
  </si>
  <si>
    <t>I2C Flash 1Mbit 8TSSOP</t>
    <phoneticPr fontId="18"/>
  </si>
  <si>
    <t>PI3USB302-AZBEX</t>
    <phoneticPr fontId="18"/>
  </si>
  <si>
    <t>Diodes</t>
    <phoneticPr fontId="18"/>
  </si>
  <si>
    <t>PI3USB302-AZBEXTR-ND</t>
  </si>
  <si>
    <t>https://www.digikey.jp/ja/products/detail/diodes-incorporated/PI3USB302-AZBEX/4280597?s=N4IgTCBcDaIAoEkDMBVAygISQBjAWgEEAtDAUQA0QBdAXyA</t>
  </si>
  <si>
    <t>800-2897-5-ND</t>
  </si>
  <si>
    <t>Renesas</t>
    <phoneticPr fontId="18"/>
  </si>
  <si>
    <t>74LVC1G04W5-7DITR-ND</t>
  </si>
  <si>
    <t>https://www.digikey.jp/ja/products/detail/diodes-incorporated/74LVC1G04W5-7/2330099?s=N4IgTCBcDaIOwBYAyA1AwgRgOIAYEHUBWAWjhAF0BfIA</t>
  </si>
  <si>
    <t>TLV75518PDYDR</t>
    <phoneticPr fontId="18"/>
  </si>
  <si>
    <t>296-TLV75518PDYDRTR-ND</t>
  </si>
  <si>
    <t>TI</t>
    <phoneticPr fontId="18"/>
  </si>
  <si>
    <t>LDO 1.8V 500mA SOT23-5</t>
    <phoneticPr fontId="18"/>
  </si>
  <si>
    <t>TLV75533PDYDR</t>
    <phoneticPr fontId="18"/>
  </si>
  <si>
    <t>https://www.digikey.jp/ja/products/detail/texas-instruments/TLV75518PDYDR/22531548?s=N4IgTCBcDaICoBkBqB2ArGgjADgAoBEBNfAJRAF0BfIA</t>
  </si>
  <si>
    <t>296-TLV75533PDYDRTR-ND</t>
  </si>
  <si>
    <t>https://www.digikey.jp/ja/products/detail/texas-instruments/TLV75533PDYDR/22531567?s=N4IgTCBcDaICoBkBqB2ArGgzJgCgEQE08AlEAXQF8g</t>
  </si>
  <si>
    <t>LDO 3.3V 500mA SOT23-5</t>
    <phoneticPr fontId="18"/>
  </si>
  <si>
    <t>TLV62568DRLR</t>
    <phoneticPr fontId="18"/>
  </si>
  <si>
    <t>296-48708-2-ND</t>
  </si>
  <si>
    <t>https://www.digikey.jp/ja/products/detail/texas-instruments/TLV62568DRLR/7653212?s=N4IgTCBcDaICoBkBqA2MBWFAOAIgJQTxAF0BfIA</t>
  </si>
  <si>
    <t>CS05400-19.2M</t>
    <phoneticPr fontId="18"/>
  </si>
  <si>
    <t>644-CS05400-19.2MTR-ND</t>
  </si>
  <si>
    <t>https://www.digikey.jp/ja/products/detail/ndk-nihon-dempa-kogyo-co-ltd/CS05400-19-2M/3125621?s=N4IgTCBcDaIMIGUAMBWALEpBaAjATgDowBZEAXQF8g</t>
  </si>
  <si>
    <t>NDK</t>
    <phoneticPr fontId="18"/>
  </si>
  <si>
    <t>TG2520SMN 16.0000M-MCGNNM3</t>
    <phoneticPr fontId="18"/>
  </si>
  <si>
    <t>Epson</t>
    <phoneticPr fontId="18"/>
  </si>
  <si>
    <t xml:space="preserve">TCXO 16MHz 0.5ppm 2.8-3.3V 2520 </t>
    <phoneticPr fontId="18"/>
  </si>
  <si>
    <t>114-TG2520SMN16.0000M-MCGNNM3TR-ND</t>
  </si>
  <si>
    <t>https://www.digikey.jp/ja/products/detail/epson/TG2520SMN-16-0000M-MCGNNM3/17107979?s=N4IgTCBcDaICoHEwFYwAYDKBZAcgAgEYA2AOjXLSwFosBhBHHLAZhAF0BfIA</t>
  </si>
  <si>
    <t>FEMTOSMDC020F-2TR-ND</t>
  </si>
  <si>
    <t>Littelfuse</t>
    <phoneticPr fontId="18"/>
  </si>
  <si>
    <t>https://www.digikey.jp/ja/products/detail/littelfuse-inc/FEMTOSMDC020F-2/6348159?s=N4IgTCBcDaIGIFECyAVA8gZSQEQMIAYx84BaCAXQF8g</t>
  </si>
  <si>
    <t>490-DLM0NSN500HY2DTR-ND</t>
  </si>
  <si>
    <t>https://www.digikey.jp/ja/products/detail/murata-electronics/DLM0NSN500HY2D/13688517?s=N4IgTCBcDaICIBkCyAGAcgZTQVhSgEgJoQC6AvkA</t>
  </si>
  <si>
    <t>Murata</t>
    <phoneticPr fontId="18"/>
  </si>
  <si>
    <t>BLM18SG221TN1</t>
    <phoneticPr fontId="18"/>
  </si>
  <si>
    <t>490-5225-2-ND</t>
  </si>
  <si>
    <t>https://www.digikey.jp/ja/products/detail/murata-electronics/BLM18SG221TN1D/1948330?s=N4IgTCBcDaIEIBkCyBGAHAZQOJjCgKgHIogC6AvkA</t>
  </si>
  <si>
    <t>LQW18AN68NJ00D</t>
    <phoneticPr fontId="18"/>
  </si>
  <si>
    <t>490-1178-2-ND</t>
  </si>
  <si>
    <t>https://www.digikey.jp/ja/products/detail/murata-electronics/LQW18AN68NJ00D/584386?s=N4IgTCBcDaIDIEUDqBGAHAQQHIDY1YCkAGIgERAF0BfIA</t>
  </si>
  <si>
    <t>SDER041H-2R2MS</t>
    <phoneticPr fontId="18"/>
  </si>
  <si>
    <t>2037-SDER041H-2R2MSTR-ND</t>
  </si>
  <si>
    <t>https://www.digikey.jp/ja/products/detail/delta-electronics-cyntec/SDER041H-2R2MS/9761210?s=N4IgTCBcDaIMoBECiAlADAFgIwAkC0YKYAsnCALoC%2BQA</t>
  </si>
  <si>
    <t>Delta</t>
    <phoneticPr fontId="18"/>
  </si>
  <si>
    <t>USB4080-03-A</t>
    <phoneticPr fontId="18"/>
  </si>
  <si>
    <t>2073-USB4080-03-ATR-ND</t>
  </si>
  <si>
    <t>GCT</t>
    <phoneticPr fontId="18"/>
  </si>
  <si>
    <t>https://www.digikey.jp/ja/products/detail/gct/USB4080-03-A/14659819?s=N4IgTCBcDaIKoGUBCAWADADjQWjQZmwEEQBdAXyA</t>
  </si>
  <si>
    <t>Masach</t>
    <phoneticPr fontId="18"/>
  </si>
  <si>
    <t>2333-MS448-10F-ND</t>
    <phoneticPr fontId="18"/>
  </si>
  <si>
    <t>https://www.digikey.jp/ja/products/detail/masach-tech-ltd/MS448-10F/12084499?s=N4IgTCBcDaILIGUAsSAcBaAjABgGIgF0BfIA</t>
  </si>
  <si>
    <t>2333-MS448-10C-ND</t>
  </si>
  <si>
    <t>https://www.digikey.jp/ja/products/detail/masach-tech-ltd/MS448-10C/12084646?s=N4IgTCBcDaILIGUAsSAcBaAjABgMIgF0BfIA</t>
  </si>
  <si>
    <t>Panasonic</t>
    <phoneticPr fontId="18"/>
  </si>
  <si>
    <t>Y7330TR-ND</t>
  </si>
  <si>
    <t>https://www.digikey.jp/ja/products/detail/panasonic-electronic-components/EXB-28V330JX/256269</t>
  </si>
  <si>
    <t>EXB-28V330JX</t>
  </si>
  <si>
    <t>33 x 4 res array 0804</t>
    <phoneticPr fontId="18"/>
  </si>
  <si>
    <t>1K x 4 res array 0804</t>
    <phoneticPr fontId="18"/>
  </si>
  <si>
    <t>Y7103TR-ND</t>
  </si>
  <si>
    <t>https://www.digikey.jp/ja/products/detail/panasonic-electronic-components/EXB-28V103JX/256299</t>
  </si>
  <si>
    <t>10K x 4 res array 0804</t>
    <phoneticPr fontId="18"/>
  </si>
  <si>
    <t>EXB-28V103JX</t>
  </si>
  <si>
    <t>EXB-28V102JX</t>
  </si>
  <si>
    <t>Y7102TR-ND</t>
  </si>
  <si>
    <t>https://www.digikey.jp/ja/products/detail/panasonic-electronic-components/EXB-28V102JX/256287</t>
  </si>
  <si>
    <t>100pF</t>
    <phoneticPr fontId="18"/>
  </si>
  <si>
    <t>220pF</t>
    <phoneticPr fontId="18"/>
  </si>
  <si>
    <t>Total</t>
    <phoneticPr fontId="18"/>
  </si>
  <si>
    <t>Specs</t>
    <phoneticPr fontId="18"/>
  </si>
  <si>
    <t>R1005 1%</t>
    <phoneticPr fontId="18"/>
  </si>
  <si>
    <t>490-GRM31CR60J107KEA8LTR-ND</t>
  </si>
  <si>
    <t>https://www.digikey.jp/ja/products/detail/murata-electronics/GRM31CR60J107KEA8L/16286000</t>
  </si>
  <si>
    <t>490-13247-2-ND</t>
  </si>
  <si>
    <t>https://www.digikey.jp/ja/products/detail/murata-electronics/GRM188R60J476ME15D/5877410</t>
  </si>
  <si>
    <t>https://www.digikey.jp/ja/products/detail/murata-electronics/GRM188R61A226ME15D/5027561</t>
  </si>
  <si>
    <t>490-10476-2-ND</t>
  </si>
  <si>
    <t>490-11379-2-ND </t>
  </si>
  <si>
    <t>https://www.digikey.jp/ja/products/detail/murata-electronics/GRM1555C1H1R7WA01D/3693945</t>
  </si>
  <si>
    <t>https://www.digikey.jp/ja/products/detail/murata-electronics/GRT1555C1H751FA02D/16033562</t>
  </si>
  <si>
    <t>490-GRT1555C1H751FA02DTR-ND </t>
  </si>
  <si>
    <t>490-8080-2-ND</t>
  </si>
  <si>
    <t>https://www.digikey.jp/ja/products/detail/murata-electronics/GJM1555C1H150GB01D/2592856</t>
  </si>
  <si>
    <t>490-6186-2-ND</t>
  </si>
  <si>
    <t>https://www.digikey.jp/ja/products/detail/murata-electronics/GRM1555C1H100FA01D/2543854</t>
  </si>
  <si>
    <t>https://www.digikey.jp/ja/products/detail/murata-electronics/GRM155R60J475ME87D/2175194</t>
  </si>
  <si>
    <t>490-5408-2-ND</t>
  </si>
  <si>
    <t>490-13409-2-ND</t>
  </si>
  <si>
    <t>https://www.digikey.jp/ja/products/detail/murata-electronics/GCM155C71A105KE38D/6012263</t>
  </si>
  <si>
    <t>490-3266-2-ND</t>
  </si>
  <si>
    <t>https://www.digikey.jp/ja/products/detail/murata-electronics/GRM155R60J474KE19D/702530</t>
  </si>
  <si>
    <t>490-6833-2-ND</t>
  </si>
  <si>
    <t>https://www.digikey.jp/ja/products/detail/murata-electronics/LQW15AN5N6C10D/2594938</t>
  </si>
  <si>
    <t>LQW15AN5N6C10D</t>
  </si>
  <si>
    <t>https://www.digikey.jp/ja/products/detail/murata-electronics/GRM1555C1H130JA01D/3693832</t>
  </si>
  <si>
    <t>490-5925-2-ND</t>
  </si>
  <si>
    <t>https://www.digikey.jp/ja/products/detail/murata-electronics/GRM1555C1H101JA01D/3693829</t>
  </si>
  <si>
    <t>490-5922-2-ND</t>
  </si>
  <si>
    <t>490-1293-2-ND</t>
  </si>
  <si>
    <t>https://www.digikey.jp/ja/products/detail/murata-electronics/GRM1555C1H221JA01D/587204</t>
  </si>
  <si>
    <t>https://www.amazon.co.jp/RF%E3%82%B3%E3%83%8D%E3%82%AF%E3%82%BF%E3%82%A2%E3%83%80%E3%83%97%E3%82%BF-SMA%E3%83%A1%E3%82%B9%E3%82%B3%E3%83%8D%E3%82%AF%E3%82%BF-SMA%E3%82%B9%E3%83%88%E3%83%AC%E3%83%BC%E3%83%88%E3%82%B3%E3%83%8D%E3%82%AF%E3%82%BF-%E4%BF%A1%E5%8F%B7%E5%A2%97%E5%B9%85%E5%99%A8%E3%83%BBLNA%E3%83%9C%E3%83%BC%E3%83%89%E3%83%A2%E3%82%B8%E3%83%A5%E3%83%BC%E3%83%AB%E3%83%BB%E3%82%A2%E3%83%B3%E3%83%97%E5%AF%BE%E5%BF%9C-SMA%E3%83%A1%E3%82%B9%E3%83%97%E3%83%A9%E3%82%B0/dp/B08FFJ7QYK/ref=sr_1_17?__mk_ja_JP=%E3%82%AB%E3%82%BF%E3%82%AB%E3%83%8A&amp;crid=3VF299LE1BU56&amp;dib=eyJ2IjoiMSJ9.cdF8OdrulDwtHI659zsZGeZUdrl8wcSyKNXFatq9edYArBL9EXXJwCIWN9u9PCui5BwE1WpCpGTaIt4I6ekS1dVck-oi-tgQmz7l2dGtqpikGYC9mxYkJSSKBJkXwGnMTshtPXbbBczqIYiAJUJrrDgKFJ5bFRVM7V1UsFPQvT0ML4N2YfTCxkfB-h_ZAVwDEfrl5O1Abs9Omehozivtdg90FgmJ_uTAdkClqygpHtkwfIQ8CvZpLggy1oLKn0n-RdXEDge4uKRj0PMoHyqUSpL6kpsIGNWhu1uILh6eOcI.eddDL1V1mjb2KfOmMRjx6eqj2BAYvfmrNt-plFWk1vo&amp;dib_tag=se&amp;keywords=SMA&amp;qid=1768740431&amp;sprefix=sma+angle%2Caps%2C205&amp;sr=8-17&amp;ufe=app_do%3Aamzn1.fos.d8e7ee72-073f-4b97-8ec0-59c18d6dfebe&amp;xpid=zxLB3ujM-8F1v</t>
  </si>
  <si>
    <t>SMA Edge</t>
    <phoneticPr fontId="18"/>
  </si>
  <si>
    <t>Amazon</t>
    <phoneticPr fontId="18"/>
  </si>
  <si>
    <t>Total Price</t>
    <phoneticPr fontId="18"/>
  </si>
  <si>
    <t>SMA edge connector</t>
    <phoneticPr fontId="18"/>
  </si>
  <si>
    <t>C69,C88,C141,C142,C144,C145,C147,C148,C150,C151,C153,C154,C156,C157,C160,C161</t>
    <phoneticPr fontId="18"/>
  </si>
  <si>
    <t>C5,C6,C7,C8,C37,C38,C39,C40,C65,C68,C70,C73,C74,C75,C76,C77,C78,C79,C80,C82,C83,C90,C91,C92,C95,C96,C97,C100,C101,C102,C103,C106,C107,C108,C109,C110,C111,C112,C113,C114,C115,C116,C117,C118,C119,C120,C121,C124,C126,C127,C128,C130,C131,C132,C134,C135,C136,C137,C138,C139,C162,C163,C174,C176,C191,C198</t>
    <phoneticPr fontId="18"/>
  </si>
  <si>
    <t>https://www.digikey.jp/ja/products/detail/murata-electronics/GRM155R71C104KA88J/2610892</t>
  </si>
  <si>
    <t>490-6328-2-ND</t>
  </si>
  <si>
    <t>C1005 X7R</t>
    <phoneticPr fontId="18"/>
  </si>
  <si>
    <t>Inolux</t>
    <phoneticPr fontId="18"/>
  </si>
  <si>
    <t>1830-1070-2-ND</t>
  </si>
  <si>
    <t>https://www.digikey.jp/ja/products/detail/inolux/IN-S63BT5UW/7604936</t>
  </si>
  <si>
    <t>Yageo</t>
    <phoneticPr fontId="18"/>
  </si>
  <si>
    <t>311-100JRTR-ND</t>
  </si>
  <si>
    <t>https://www.digikey.jp/ja/products/detail/yageo/RC0402JR-07100RL/726415</t>
  </si>
  <si>
    <t>311-200LRTR-ND</t>
  </si>
  <si>
    <t>https://www.digikey.jp/ja/products/detail/yageo/RC0402FR-07200RL/2827569</t>
  </si>
  <si>
    <t>311-470LRTR-ND</t>
  </si>
  <si>
    <t>https://www.digikey.jp/ja/products/detail/yageo/RC0402FR-07470RL/726619</t>
  </si>
  <si>
    <t>https://www.digikey.jp/ja/products/detail/yageo/RC0402FR-071KL/726513</t>
  </si>
  <si>
    <t>311-1.00KLRTR-ND</t>
  </si>
  <si>
    <t>https://www.digikey.jp/ja/products/detail/yageo/RC0402FR-072K2L/726553</t>
  </si>
  <si>
    <t>311-2.20KLRTR-ND</t>
  </si>
  <si>
    <t>311-4.7KJRTR-ND</t>
  </si>
  <si>
    <t>https://www.digikey.jp/ja/products/detail/yageo/RC0402JR-074K7L/726477</t>
  </si>
  <si>
    <t>13-RC0402FR-075KLTR-ND </t>
  </si>
  <si>
    <t>https://www.digikey.jp/ja/products/detail/yageo/RC0402FR-075KL/5917711?s=N4IgjCBcpgbFoDGUBmBDANgZwKYBoQB7KAbRAGYBOMAVgA4QBdAgBwBcoQBlNgJwEsAdgHMQAXwIAmAAx0aCEMkjps%2BIqRA0ABAGsA8gAsAtliasOkEAFVB-NnpQBZHGiwBXXjnEEAtBGiKqJi4BMSQZGDkTGIxQA</t>
  </si>
  <si>
    <t>311-5.10KLRTR-ND</t>
  </si>
  <si>
    <t>https://www.digikey.jp/ja/products/detail/yageo/RC0402FR-075K1L/726624</t>
  </si>
  <si>
    <t>YAG3348TR-ND</t>
  </si>
  <si>
    <t>https://www.digikey.jp/ja/products/detail/yageo/RT0402FRE076K04L/1072118</t>
  </si>
  <si>
    <t>311-10.0KLRTR-ND </t>
  </si>
  <si>
    <t>https://www.digikey.jp/ja/products/detail/yageo/RC0402FR-0710KL/726523</t>
  </si>
  <si>
    <t>https://www.digikey.jp/ja/products/detail/yageo/RC0402FR-0715KL/726541</t>
  </si>
  <si>
    <t>311-15.0KLRTR-ND </t>
  </si>
  <si>
    <t>https://www.digikey.jp/ja/products/detail/yageo/RC0402FR-0766K5L/5281069</t>
  </si>
  <si>
    <t>YAG3209TR-ND</t>
  </si>
  <si>
    <t>311-100KLRTR-ND</t>
  </si>
  <si>
    <t>https://www.digikey.jp/ja/products/detail/yageo/RC0402FR-07100KL/726526</t>
  </si>
  <si>
    <t>YAG3113TR-ND</t>
  </si>
  <si>
    <t>https://www.digikey.jp/ja/products/detail/yageo/RC0402FR-07316KL/5280973</t>
  </si>
  <si>
    <t>490-1313-2-ND</t>
  </si>
  <si>
    <t>https://www.digikey.jp/ja/products/detail/murata-electronics/GRM155R71C103KA01D/587215</t>
  </si>
  <si>
    <t>https://www.digikey.jp/ja/products/detail/renesas-electronics-corporation/5PB1110PGGI/5189639</t>
    <phoneticPr fontId="18"/>
  </si>
  <si>
    <t>https://www.digikey.jp/ja/products/detail/adam-tech/2PH1-03-UA/9830409</t>
  </si>
  <si>
    <t>Adam Tech</t>
    <phoneticPr fontId="18"/>
  </si>
  <si>
    <t>2057-2PH1-03-UA-ND</t>
  </si>
  <si>
    <t>https://www.digikey.jp/ja/products/detail/adam-tech/2PH1-02-UA/9830305</t>
  </si>
  <si>
    <t>2057-2PH1-02-UA-ND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</si>
</sst>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76" formatCode="_ * #,##0.0_ ;_ * \-#,##0.0_ ;_ * &quot;-&quot;?_ ;_ @_ "/>
  </numFmts>
  <fonts count="24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444444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u/>
      <sz val="11"/>
      <color theme="10"/>
      <name val="游ゴシック"/>
      <family val="3"/>
      <charset val="128"/>
      <scheme val="minor"/>
    </font>
    <font>
      <sz val="11"/>
      <color rgb="FF222222"/>
      <name val="游ゴシック"/>
      <family val="3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9" fillId="0" borderId="0" xfId="0" applyFont="1">
      <alignment vertical="center"/>
    </xf>
    <xf numFmtId="0" fontId="19" fillId="0" borderId="0" xfId="0" applyFont="1" applyAlignment="1">
      <alignment vertical="center" wrapText="1"/>
    </xf>
    <xf numFmtId="0" fontId="20" fillId="0" borderId="0" xfId="0" applyFont="1">
      <alignment vertical="center"/>
    </xf>
    <xf numFmtId="41" fontId="19" fillId="0" borderId="0" xfId="0" applyNumberFormat="1" applyFont="1">
      <alignment vertical="center"/>
    </xf>
    <xf numFmtId="176" fontId="19" fillId="0" borderId="0" xfId="0" applyNumberFormat="1" applyFont="1">
      <alignment vertical="center"/>
    </xf>
    <xf numFmtId="176" fontId="22" fillId="0" borderId="0" xfId="42" applyNumberFormat="1" applyFont="1">
      <alignment vertical="center"/>
    </xf>
    <xf numFmtId="0" fontId="23" fillId="0" borderId="0" xfId="0" applyFont="1" applyAlignment="1">
      <alignment horizontal="left" vertical="center" wrapText="1"/>
    </xf>
    <xf numFmtId="0" fontId="20" fillId="0" borderId="0" xfId="0" applyFont="1" applyAlignment="1">
      <alignment vertical="center" wrapText="1"/>
    </xf>
    <xf numFmtId="0" fontId="22" fillId="0" borderId="0" xfId="42" applyFont="1">
      <alignment vertical="center"/>
    </xf>
  </cellXfs>
  <cellStyles count="43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ハイパーリンク" xfId="42" builtinId="8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digikey.jp/ja/products/detail/renesas-electronics-corporation/5PB1110PGGI/5189639" TargetMode="External"/><Relationship Id="rId1" Type="http://schemas.openxmlformats.org/officeDocument/2006/relationships/hyperlink" Target="mailto:Price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ACB41-CDBA-4401-AF0A-4B7D229AF0EA}">
  <dimension ref="A1:J69"/>
  <sheetViews>
    <sheetView tabSelected="1" topLeftCell="C52" workbookViewId="0">
      <selection activeCell="C52" sqref="A1:XFD1048576"/>
    </sheetView>
  </sheetViews>
  <sheetFormatPr defaultRowHeight="18" x14ac:dyDescent="0.45"/>
  <cols>
    <col min="1" max="1" width="4.5" style="1" customWidth="1"/>
    <col min="2" max="2" width="39.796875" style="2" customWidth="1"/>
    <col min="3" max="3" width="21.8984375" style="2" customWidth="1"/>
    <col min="4" max="4" width="35.296875" style="2" customWidth="1"/>
    <col min="5" max="5" width="11.69921875" style="1" customWidth="1"/>
    <col min="6" max="6" width="4.8984375" style="1" customWidth="1"/>
    <col min="7" max="7" width="11.296875" style="5" customWidth="1"/>
    <col min="8" max="8" width="10.8984375" style="4" customWidth="1"/>
    <col min="9" max="9" width="25.69921875" style="1" customWidth="1"/>
    <col min="10" max="10" width="17.5" style="1" customWidth="1"/>
    <col min="11" max="16384" width="8.796875" style="1"/>
  </cols>
  <sheetData>
    <row r="1" spans="1:10" x14ac:dyDescent="0.45">
      <c r="A1" s="1" t="s">
        <v>97</v>
      </c>
      <c r="B1" s="2" t="s">
        <v>0</v>
      </c>
      <c r="C1" s="2" t="s">
        <v>1</v>
      </c>
      <c r="D1" s="2" t="s">
        <v>237</v>
      </c>
      <c r="F1" s="1" t="s">
        <v>2</v>
      </c>
      <c r="G1" s="6" t="s">
        <v>149</v>
      </c>
      <c r="H1" s="4" t="s">
        <v>271</v>
      </c>
      <c r="I1" s="1" t="s">
        <v>137</v>
      </c>
      <c r="J1" s="1" t="s">
        <v>136</v>
      </c>
    </row>
    <row r="2" spans="1:10" x14ac:dyDescent="0.45">
      <c r="A2" s="1">
        <v>1</v>
      </c>
      <c r="B2" s="2" t="s">
        <v>84</v>
      </c>
      <c r="C2" s="2" t="s">
        <v>140</v>
      </c>
      <c r="D2" s="2" t="s">
        <v>141</v>
      </c>
      <c r="E2" s="1" t="s">
        <v>139</v>
      </c>
      <c r="F2" s="1">
        <v>8</v>
      </c>
      <c r="G2" s="5">
        <v>1440</v>
      </c>
      <c r="H2" s="4">
        <f>G2*F2</f>
        <v>11520</v>
      </c>
      <c r="I2" s="3" t="s">
        <v>142</v>
      </c>
      <c r="J2" s="1" t="s">
        <v>143</v>
      </c>
    </row>
    <row r="3" spans="1:10" x14ac:dyDescent="0.45">
      <c r="A3" s="1">
        <v>2</v>
      </c>
      <c r="B3" s="2" t="s">
        <v>93</v>
      </c>
      <c r="C3" s="2" t="s">
        <v>144</v>
      </c>
      <c r="D3" s="2" t="s">
        <v>118</v>
      </c>
      <c r="E3" s="1" t="s">
        <v>139</v>
      </c>
      <c r="F3" s="1">
        <v>1</v>
      </c>
      <c r="G3" s="5">
        <v>20454</v>
      </c>
      <c r="H3" s="4">
        <f t="shared" ref="H3:H67" si="0">G3*F3</f>
        <v>20454</v>
      </c>
      <c r="I3" s="3" t="s">
        <v>145</v>
      </c>
      <c r="J3" s="1" t="s">
        <v>146</v>
      </c>
    </row>
    <row r="4" spans="1:10" x14ac:dyDescent="0.45">
      <c r="A4" s="1">
        <v>3</v>
      </c>
      <c r="B4" s="2" t="s">
        <v>94</v>
      </c>
      <c r="C4" s="2" t="s">
        <v>147</v>
      </c>
      <c r="D4" s="2" t="s">
        <v>152</v>
      </c>
      <c r="E4" s="1" t="s">
        <v>138</v>
      </c>
      <c r="F4" s="1">
        <v>1</v>
      </c>
      <c r="G4" s="5">
        <v>3957</v>
      </c>
      <c r="H4" s="4">
        <f t="shared" si="0"/>
        <v>3957</v>
      </c>
      <c r="I4" s="3" t="s">
        <v>148</v>
      </c>
      <c r="J4" s="1" t="s">
        <v>150</v>
      </c>
    </row>
    <row r="5" spans="1:10" x14ac:dyDescent="0.45">
      <c r="A5" s="1">
        <v>4</v>
      </c>
      <c r="B5" s="2" t="s">
        <v>86</v>
      </c>
      <c r="C5" s="2" t="s">
        <v>151</v>
      </c>
      <c r="D5" s="2" t="s">
        <v>156</v>
      </c>
      <c r="E5" s="1" t="s">
        <v>153</v>
      </c>
      <c r="F5" s="1">
        <v>1</v>
      </c>
      <c r="G5" s="5">
        <v>5046</v>
      </c>
      <c r="H5" s="4">
        <f t="shared" si="0"/>
        <v>5046</v>
      </c>
      <c r="I5" s="3" t="s">
        <v>154</v>
      </c>
      <c r="J5" s="1" t="s">
        <v>155</v>
      </c>
    </row>
    <row r="6" spans="1:10" x14ac:dyDescent="0.45">
      <c r="A6" s="1">
        <v>5</v>
      </c>
      <c r="B6" s="2" t="s">
        <v>95</v>
      </c>
      <c r="C6" s="2" t="s">
        <v>157</v>
      </c>
      <c r="D6" s="2" t="s">
        <v>158</v>
      </c>
      <c r="E6" s="1" t="s">
        <v>159</v>
      </c>
      <c r="F6" s="1">
        <v>1</v>
      </c>
      <c r="G6" s="5">
        <v>200</v>
      </c>
      <c r="H6" s="4">
        <f t="shared" si="0"/>
        <v>200</v>
      </c>
      <c r="I6" s="3" t="s">
        <v>160</v>
      </c>
      <c r="J6" s="1" t="s">
        <v>161</v>
      </c>
    </row>
    <row r="7" spans="1:10" x14ac:dyDescent="0.45">
      <c r="A7" s="1">
        <v>6</v>
      </c>
      <c r="B7" s="2" t="s">
        <v>85</v>
      </c>
      <c r="C7" s="2" t="s">
        <v>162</v>
      </c>
      <c r="D7" s="2" t="s">
        <v>166</v>
      </c>
      <c r="E7" s="1" t="s">
        <v>163</v>
      </c>
      <c r="F7" s="1">
        <v>1</v>
      </c>
      <c r="G7" s="5">
        <v>189</v>
      </c>
      <c r="H7" s="4">
        <f t="shared" si="0"/>
        <v>189</v>
      </c>
      <c r="I7" s="3" t="s">
        <v>164</v>
      </c>
      <c r="J7" s="1" t="s">
        <v>165</v>
      </c>
    </row>
    <row r="8" spans="1:10" x14ac:dyDescent="0.45">
      <c r="A8" s="1">
        <v>7</v>
      </c>
      <c r="B8" s="2" t="s">
        <v>92</v>
      </c>
      <c r="C8" s="2" t="s">
        <v>167</v>
      </c>
      <c r="D8" s="2" t="s">
        <v>110</v>
      </c>
      <c r="E8" s="1" t="s">
        <v>168</v>
      </c>
      <c r="F8" s="1">
        <v>1</v>
      </c>
      <c r="G8" s="5">
        <v>272</v>
      </c>
      <c r="H8" s="4">
        <f t="shared" si="0"/>
        <v>272</v>
      </c>
      <c r="I8" s="3" t="s">
        <v>169</v>
      </c>
      <c r="J8" s="1" t="s">
        <v>170</v>
      </c>
    </row>
    <row r="9" spans="1:10" x14ac:dyDescent="0.45">
      <c r="A9" s="1">
        <v>8</v>
      </c>
      <c r="B9" s="2" t="s">
        <v>87</v>
      </c>
      <c r="C9" s="2" t="s">
        <v>121</v>
      </c>
      <c r="D9" s="2" t="s">
        <v>122</v>
      </c>
      <c r="E9" s="1" t="s">
        <v>172</v>
      </c>
      <c r="F9" s="1">
        <v>1</v>
      </c>
      <c r="G9" s="5">
        <v>798</v>
      </c>
      <c r="H9" s="4">
        <f t="shared" si="0"/>
        <v>798</v>
      </c>
      <c r="I9" s="3" t="s">
        <v>171</v>
      </c>
      <c r="J9" s="9" t="s">
        <v>312</v>
      </c>
    </row>
    <row r="10" spans="1:10" x14ac:dyDescent="0.45">
      <c r="A10" s="1">
        <v>9</v>
      </c>
      <c r="B10" s="2" t="s">
        <v>91</v>
      </c>
      <c r="C10" s="2" t="s">
        <v>119</v>
      </c>
      <c r="D10" s="2" t="s">
        <v>120</v>
      </c>
      <c r="E10" s="1" t="s">
        <v>168</v>
      </c>
      <c r="F10" s="1">
        <v>1</v>
      </c>
      <c r="G10" s="5">
        <v>21</v>
      </c>
      <c r="H10" s="4">
        <f t="shared" si="0"/>
        <v>21</v>
      </c>
      <c r="I10" s="3" t="s">
        <v>173</v>
      </c>
      <c r="J10" s="1" t="s">
        <v>174</v>
      </c>
    </row>
    <row r="11" spans="1:10" x14ac:dyDescent="0.45">
      <c r="A11" s="1">
        <v>10</v>
      </c>
      <c r="B11" s="2" t="s">
        <v>90</v>
      </c>
      <c r="C11" s="2" t="s">
        <v>175</v>
      </c>
      <c r="D11" s="2" t="s">
        <v>178</v>
      </c>
      <c r="E11" s="1" t="s">
        <v>177</v>
      </c>
      <c r="F11" s="1">
        <v>1</v>
      </c>
      <c r="G11" s="5">
        <v>47</v>
      </c>
      <c r="H11" s="4">
        <f t="shared" si="0"/>
        <v>47</v>
      </c>
      <c r="I11" s="3" t="s">
        <v>176</v>
      </c>
      <c r="J11" s="1" t="s">
        <v>180</v>
      </c>
    </row>
    <row r="12" spans="1:10" x14ac:dyDescent="0.45">
      <c r="A12" s="1">
        <v>11</v>
      </c>
      <c r="B12" s="2" t="s">
        <v>88</v>
      </c>
      <c r="C12" s="2" t="s">
        <v>179</v>
      </c>
      <c r="D12" s="2" t="s">
        <v>183</v>
      </c>
      <c r="E12" s="1" t="s">
        <v>177</v>
      </c>
      <c r="F12" s="1">
        <v>1</v>
      </c>
      <c r="G12" s="5">
        <v>47</v>
      </c>
      <c r="H12" s="4">
        <f t="shared" si="0"/>
        <v>47</v>
      </c>
      <c r="I12" s="3" t="s">
        <v>181</v>
      </c>
      <c r="J12" s="1" t="s">
        <v>182</v>
      </c>
    </row>
    <row r="13" spans="1:10" x14ac:dyDescent="0.45">
      <c r="A13" s="1">
        <v>12</v>
      </c>
      <c r="B13" s="2" t="s">
        <v>89</v>
      </c>
      <c r="C13" s="2" t="s">
        <v>184</v>
      </c>
      <c r="D13" s="2" t="s">
        <v>109</v>
      </c>
      <c r="E13" s="1" t="s">
        <v>177</v>
      </c>
      <c r="F13" s="1">
        <v>3</v>
      </c>
      <c r="G13" s="5">
        <v>44</v>
      </c>
      <c r="H13" s="4">
        <f t="shared" si="0"/>
        <v>132</v>
      </c>
      <c r="I13" s="3" t="s">
        <v>185</v>
      </c>
      <c r="J13" s="1" t="s">
        <v>186</v>
      </c>
    </row>
    <row r="14" spans="1:10" x14ac:dyDescent="0.45">
      <c r="A14" s="1">
        <v>13</v>
      </c>
      <c r="B14" s="2" t="s">
        <v>47</v>
      </c>
      <c r="C14" s="2" t="s">
        <v>48</v>
      </c>
      <c r="D14" s="2" t="s">
        <v>102</v>
      </c>
      <c r="E14" s="1" t="s">
        <v>278</v>
      </c>
      <c r="F14" s="1">
        <v>5</v>
      </c>
      <c r="G14" s="5">
        <v>25.1</v>
      </c>
      <c r="H14" s="4">
        <f t="shared" si="0"/>
        <v>125.5</v>
      </c>
      <c r="I14" s="3" t="s">
        <v>279</v>
      </c>
      <c r="J14" s="1" t="s">
        <v>280</v>
      </c>
    </row>
    <row r="15" spans="1:10" x14ac:dyDescent="0.45">
      <c r="A15" s="1">
        <v>14</v>
      </c>
      <c r="B15" s="2" t="s">
        <v>96</v>
      </c>
      <c r="C15" s="2" t="s">
        <v>187</v>
      </c>
      <c r="D15" s="2" t="s">
        <v>103</v>
      </c>
      <c r="E15" s="1" t="s">
        <v>190</v>
      </c>
      <c r="F15" s="1">
        <v>1</v>
      </c>
      <c r="G15" s="5">
        <v>182</v>
      </c>
      <c r="H15" s="4">
        <f t="shared" si="0"/>
        <v>182</v>
      </c>
      <c r="I15" s="3" t="s">
        <v>188</v>
      </c>
      <c r="J15" s="1" t="s">
        <v>189</v>
      </c>
    </row>
    <row r="16" spans="1:10" ht="36" x14ac:dyDescent="0.45">
      <c r="A16" s="1">
        <v>15</v>
      </c>
      <c r="B16" s="2" t="s">
        <v>82</v>
      </c>
      <c r="C16" s="2" t="s">
        <v>191</v>
      </c>
      <c r="D16" s="2" t="s">
        <v>193</v>
      </c>
      <c r="E16" s="1" t="s">
        <v>192</v>
      </c>
      <c r="F16" s="1">
        <v>1</v>
      </c>
      <c r="G16" s="5">
        <v>565</v>
      </c>
      <c r="H16" s="4">
        <f t="shared" si="0"/>
        <v>565</v>
      </c>
      <c r="I16" s="3" t="s">
        <v>194</v>
      </c>
      <c r="J16" s="1" t="s">
        <v>195</v>
      </c>
    </row>
    <row r="17" spans="1:10" x14ac:dyDescent="0.45">
      <c r="A17" s="1">
        <v>16</v>
      </c>
      <c r="B17" s="2" t="s">
        <v>35</v>
      </c>
      <c r="C17" s="2" t="s">
        <v>115</v>
      </c>
      <c r="D17" s="2" t="s">
        <v>114</v>
      </c>
      <c r="E17" s="1" t="s">
        <v>197</v>
      </c>
      <c r="F17" s="1">
        <v>1</v>
      </c>
      <c r="G17" s="5">
        <v>145</v>
      </c>
      <c r="H17" s="4">
        <f t="shared" si="0"/>
        <v>145</v>
      </c>
      <c r="I17" s="3" t="s">
        <v>196</v>
      </c>
      <c r="J17" s="1" t="s">
        <v>198</v>
      </c>
    </row>
    <row r="18" spans="1:10" x14ac:dyDescent="0.45">
      <c r="A18" s="1">
        <v>17</v>
      </c>
      <c r="B18" s="2" t="s">
        <v>36</v>
      </c>
      <c r="C18" s="2" t="s">
        <v>112</v>
      </c>
      <c r="D18" s="2" t="s">
        <v>113</v>
      </c>
      <c r="E18" s="1" t="s">
        <v>201</v>
      </c>
      <c r="F18" s="1">
        <v>2</v>
      </c>
      <c r="G18" s="5">
        <v>16</v>
      </c>
      <c r="H18" s="4">
        <f t="shared" si="0"/>
        <v>32</v>
      </c>
      <c r="I18" s="3" t="s">
        <v>199</v>
      </c>
      <c r="J18" s="1" t="s">
        <v>200</v>
      </c>
    </row>
    <row r="19" spans="1:10" x14ac:dyDescent="0.45">
      <c r="A19" s="1">
        <v>18</v>
      </c>
      <c r="B19" s="2" t="s">
        <v>37</v>
      </c>
      <c r="C19" s="2" t="s">
        <v>202</v>
      </c>
      <c r="D19" s="2" t="s">
        <v>116</v>
      </c>
      <c r="E19" s="1" t="s">
        <v>201</v>
      </c>
      <c r="F19" s="1">
        <v>1</v>
      </c>
      <c r="G19" s="5">
        <v>21</v>
      </c>
      <c r="H19" s="4">
        <f t="shared" si="0"/>
        <v>21</v>
      </c>
      <c r="I19" s="3" t="s">
        <v>203</v>
      </c>
      <c r="J19" s="1" t="s">
        <v>204</v>
      </c>
    </row>
    <row r="20" spans="1:10" x14ac:dyDescent="0.45">
      <c r="A20" s="1">
        <v>19</v>
      </c>
      <c r="B20" s="2" t="s">
        <v>44</v>
      </c>
      <c r="C20" s="2" t="s">
        <v>205</v>
      </c>
      <c r="D20" s="2" t="s">
        <v>117</v>
      </c>
      <c r="E20" s="1" t="s">
        <v>201</v>
      </c>
      <c r="F20" s="1">
        <v>8</v>
      </c>
      <c r="G20" s="5">
        <v>18</v>
      </c>
      <c r="H20" s="4">
        <f t="shared" si="0"/>
        <v>144</v>
      </c>
      <c r="I20" s="3" t="s">
        <v>206</v>
      </c>
      <c r="J20" s="1" t="s">
        <v>207</v>
      </c>
    </row>
    <row r="21" spans="1:10" x14ac:dyDescent="0.45">
      <c r="A21" s="1">
        <v>20</v>
      </c>
      <c r="B21" s="2" t="s">
        <v>45</v>
      </c>
      <c r="C21" s="7" t="s">
        <v>261</v>
      </c>
      <c r="D21" s="2" t="s">
        <v>123</v>
      </c>
      <c r="E21" s="1" t="s">
        <v>201</v>
      </c>
      <c r="F21" s="1">
        <v>8</v>
      </c>
      <c r="G21" s="5">
        <v>16.600000000000001</v>
      </c>
      <c r="H21" s="4">
        <f t="shared" si="0"/>
        <v>132.80000000000001</v>
      </c>
      <c r="I21" s="3" t="s">
        <v>259</v>
      </c>
      <c r="J21" s="1" t="s">
        <v>260</v>
      </c>
    </row>
    <row r="22" spans="1:10" x14ac:dyDescent="0.45">
      <c r="A22" s="1">
        <v>21</v>
      </c>
      <c r="B22" s="2" t="s">
        <v>46</v>
      </c>
      <c r="C22" s="2" t="s">
        <v>208</v>
      </c>
      <c r="D22" s="2" t="s">
        <v>111</v>
      </c>
      <c r="E22" s="1" t="s">
        <v>211</v>
      </c>
      <c r="F22" s="1">
        <v>3</v>
      </c>
      <c r="G22" s="5">
        <v>36</v>
      </c>
      <c r="H22" s="4">
        <f t="shared" si="0"/>
        <v>108</v>
      </c>
      <c r="I22" s="3" t="s">
        <v>209</v>
      </c>
      <c r="J22" s="1" t="s">
        <v>210</v>
      </c>
    </row>
    <row r="23" spans="1:10" x14ac:dyDescent="0.45">
      <c r="A23" s="1">
        <v>22</v>
      </c>
      <c r="B23" s="2" t="s">
        <v>10</v>
      </c>
      <c r="C23" s="2" t="s">
        <v>11</v>
      </c>
      <c r="D23" s="2" t="s">
        <v>135</v>
      </c>
      <c r="E23" s="1" t="s">
        <v>201</v>
      </c>
      <c r="F23" s="1">
        <v>8</v>
      </c>
      <c r="G23" s="5">
        <v>15</v>
      </c>
      <c r="H23" s="4">
        <f t="shared" si="0"/>
        <v>120</v>
      </c>
      <c r="I23" s="3" t="s">
        <v>245</v>
      </c>
      <c r="J23" s="1" t="s">
        <v>246</v>
      </c>
    </row>
    <row r="24" spans="1:10" x14ac:dyDescent="0.45">
      <c r="A24" s="1">
        <v>23</v>
      </c>
      <c r="B24" s="2" t="s">
        <v>23</v>
      </c>
      <c r="C24" s="2" t="s">
        <v>24</v>
      </c>
      <c r="D24" s="2" t="s">
        <v>135</v>
      </c>
      <c r="E24" s="1" t="s">
        <v>201</v>
      </c>
      <c r="F24" s="1">
        <v>8</v>
      </c>
      <c r="G24" s="5">
        <v>6.8</v>
      </c>
      <c r="H24" s="4">
        <f t="shared" si="0"/>
        <v>54.4</v>
      </c>
      <c r="I24" s="3" t="s">
        <v>251</v>
      </c>
      <c r="J24" s="1" t="s">
        <v>252</v>
      </c>
    </row>
    <row r="25" spans="1:10" x14ac:dyDescent="0.45">
      <c r="A25" s="1">
        <v>24</v>
      </c>
      <c r="B25" s="2" t="s">
        <v>21</v>
      </c>
      <c r="C25" s="2" t="s">
        <v>22</v>
      </c>
      <c r="D25" s="2" t="s">
        <v>135</v>
      </c>
      <c r="E25" s="1" t="s">
        <v>201</v>
      </c>
      <c r="F25" s="1">
        <v>2</v>
      </c>
      <c r="G25" s="5">
        <v>7.2</v>
      </c>
      <c r="H25" s="4">
        <f t="shared" si="0"/>
        <v>14.4</v>
      </c>
      <c r="I25" s="3" t="s">
        <v>263</v>
      </c>
      <c r="J25" s="1" t="s">
        <v>262</v>
      </c>
    </row>
    <row r="26" spans="1:10" x14ac:dyDescent="0.45">
      <c r="A26" s="1">
        <v>25</v>
      </c>
      <c r="B26" s="2" t="s">
        <v>15</v>
      </c>
      <c r="C26" s="2" t="s">
        <v>16</v>
      </c>
      <c r="D26" s="2" t="s">
        <v>135</v>
      </c>
      <c r="E26" s="1" t="s">
        <v>201</v>
      </c>
      <c r="F26" s="1">
        <v>8</v>
      </c>
      <c r="G26" s="5">
        <v>11.2</v>
      </c>
      <c r="H26" s="4">
        <f t="shared" si="0"/>
        <v>89.6</v>
      </c>
      <c r="I26" s="3" t="s">
        <v>249</v>
      </c>
      <c r="J26" s="1" t="s">
        <v>250</v>
      </c>
    </row>
    <row r="27" spans="1:10" ht="36" x14ac:dyDescent="0.45">
      <c r="A27" s="1">
        <v>26</v>
      </c>
      <c r="B27" s="2" t="s">
        <v>6</v>
      </c>
      <c r="C27" s="2" t="s">
        <v>7</v>
      </c>
      <c r="D27" s="2" t="s">
        <v>135</v>
      </c>
      <c r="E27" s="1" t="s">
        <v>201</v>
      </c>
      <c r="F27" s="1">
        <v>16</v>
      </c>
      <c r="G27" s="5">
        <v>3.6</v>
      </c>
      <c r="H27" s="4">
        <f t="shared" ref="H27" si="1">G27*F27</f>
        <v>57.6</v>
      </c>
      <c r="I27" s="3" t="s">
        <v>265</v>
      </c>
      <c r="J27" s="1" t="s">
        <v>264</v>
      </c>
    </row>
    <row r="28" spans="1:10" x14ac:dyDescent="0.45">
      <c r="A28" s="1">
        <v>27</v>
      </c>
      <c r="B28" s="2" t="s">
        <v>9</v>
      </c>
      <c r="C28" s="2" t="s">
        <v>234</v>
      </c>
      <c r="D28" s="2" t="s">
        <v>135</v>
      </c>
      <c r="E28" s="1" t="s">
        <v>201</v>
      </c>
      <c r="F28" s="1">
        <v>8</v>
      </c>
      <c r="G28" s="5">
        <v>3.6</v>
      </c>
      <c r="H28" s="4">
        <f t="shared" si="0"/>
        <v>28.8</v>
      </c>
      <c r="I28" s="3" t="s">
        <v>265</v>
      </c>
      <c r="J28" s="1" t="s">
        <v>264</v>
      </c>
    </row>
    <row r="29" spans="1:10" x14ac:dyDescent="0.45">
      <c r="A29" s="1">
        <v>28</v>
      </c>
      <c r="B29" s="2" t="s">
        <v>12</v>
      </c>
      <c r="C29" s="2" t="s">
        <v>235</v>
      </c>
      <c r="D29" s="2" t="s">
        <v>135</v>
      </c>
      <c r="E29" s="1" t="s">
        <v>201</v>
      </c>
      <c r="F29" s="1">
        <v>8</v>
      </c>
      <c r="G29" s="5">
        <v>4.5999999999999996</v>
      </c>
      <c r="H29" s="4">
        <f t="shared" si="0"/>
        <v>36.799999999999997</v>
      </c>
      <c r="I29" s="3" t="s">
        <v>266</v>
      </c>
      <c r="J29" s="1" t="s">
        <v>267</v>
      </c>
    </row>
    <row r="30" spans="1:10" x14ac:dyDescent="0.45">
      <c r="A30" s="1">
        <v>29</v>
      </c>
      <c r="B30" s="2" t="s">
        <v>13</v>
      </c>
      <c r="C30" s="2" t="s">
        <v>14</v>
      </c>
      <c r="D30" s="2" t="s">
        <v>135</v>
      </c>
      <c r="E30" s="1" t="s">
        <v>201</v>
      </c>
      <c r="F30" s="1">
        <v>8</v>
      </c>
      <c r="G30" s="5">
        <v>6.2</v>
      </c>
      <c r="H30" s="4">
        <f t="shared" si="0"/>
        <v>49.6</v>
      </c>
      <c r="I30" s="3" t="s">
        <v>248</v>
      </c>
      <c r="J30" s="1" t="s">
        <v>247</v>
      </c>
    </row>
    <row r="31" spans="1:10" x14ac:dyDescent="0.45">
      <c r="A31" s="1">
        <v>30</v>
      </c>
      <c r="B31" s="2" t="s">
        <v>17</v>
      </c>
      <c r="C31" s="2" t="s">
        <v>18</v>
      </c>
      <c r="D31" s="2" t="s">
        <v>277</v>
      </c>
      <c r="E31" s="1" t="s">
        <v>201</v>
      </c>
      <c r="F31" s="1">
        <v>9</v>
      </c>
      <c r="G31" s="5">
        <v>0.7</v>
      </c>
      <c r="H31" s="4">
        <f t="shared" si="0"/>
        <v>6.3</v>
      </c>
      <c r="I31" s="3" t="s">
        <v>310</v>
      </c>
      <c r="J31" s="1" t="s">
        <v>311</v>
      </c>
    </row>
    <row r="32" spans="1:10" ht="36" x14ac:dyDescent="0.45">
      <c r="A32" s="1">
        <v>31</v>
      </c>
      <c r="B32" s="2" t="s">
        <v>273</v>
      </c>
      <c r="C32" s="2" t="s">
        <v>8</v>
      </c>
      <c r="D32" s="2" t="s">
        <v>277</v>
      </c>
      <c r="E32" s="1" t="s">
        <v>201</v>
      </c>
      <c r="F32" s="1">
        <v>16</v>
      </c>
      <c r="G32" s="5">
        <v>2.8</v>
      </c>
      <c r="H32" s="4">
        <f t="shared" si="0"/>
        <v>44.8</v>
      </c>
      <c r="I32" s="3" t="s">
        <v>276</v>
      </c>
      <c r="J32" s="1" t="s">
        <v>275</v>
      </c>
    </row>
    <row r="33" spans="1:10" ht="144" x14ac:dyDescent="0.45">
      <c r="A33" s="1">
        <v>32</v>
      </c>
      <c r="B33" s="2" t="s">
        <v>274</v>
      </c>
      <c r="C33" s="2" t="s">
        <v>8</v>
      </c>
      <c r="D33" s="2" t="s">
        <v>134</v>
      </c>
      <c r="E33" s="1" t="s">
        <v>201</v>
      </c>
      <c r="F33" s="1">
        <v>66</v>
      </c>
      <c r="G33" s="5">
        <v>2.84</v>
      </c>
      <c r="H33" s="4">
        <f t="shared" si="0"/>
        <v>187.44</v>
      </c>
      <c r="I33" s="3" t="s">
        <v>276</v>
      </c>
      <c r="J33" s="1" t="s">
        <v>275</v>
      </c>
    </row>
    <row r="34" spans="1:10" ht="36" x14ac:dyDescent="0.45">
      <c r="A34" s="1">
        <v>33</v>
      </c>
      <c r="B34" s="2" t="s">
        <v>33</v>
      </c>
      <c r="C34" s="2" t="s">
        <v>34</v>
      </c>
      <c r="D34" s="2" t="s">
        <v>134</v>
      </c>
      <c r="E34" s="1" t="s">
        <v>201</v>
      </c>
      <c r="F34" s="1">
        <v>11</v>
      </c>
      <c r="G34" s="5">
        <v>9.1</v>
      </c>
      <c r="H34" s="4">
        <f t="shared" si="0"/>
        <v>100.1</v>
      </c>
      <c r="I34" s="3" t="s">
        <v>257</v>
      </c>
      <c r="J34" s="1" t="s">
        <v>258</v>
      </c>
    </row>
    <row r="35" spans="1:10" x14ac:dyDescent="0.45">
      <c r="A35" s="1">
        <v>34</v>
      </c>
      <c r="B35" s="2" t="s">
        <v>19</v>
      </c>
      <c r="C35" s="2" t="s">
        <v>20</v>
      </c>
      <c r="D35" s="2" t="s">
        <v>134</v>
      </c>
      <c r="E35" s="1" t="s">
        <v>201</v>
      </c>
      <c r="F35" s="1">
        <v>5</v>
      </c>
      <c r="G35" s="5">
        <v>9.1</v>
      </c>
      <c r="H35" s="4">
        <f t="shared" si="0"/>
        <v>45.5</v>
      </c>
      <c r="I35" s="3" t="s">
        <v>255</v>
      </c>
      <c r="J35" s="1" t="s">
        <v>256</v>
      </c>
    </row>
    <row r="36" spans="1:10" x14ac:dyDescent="0.45">
      <c r="A36" s="1">
        <v>35</v>
      </c>
      <c r="B36" s="2" t="s">
        <v>27</v>
      </c>
      <c r="C36" s="2" t="s">
        <v>28</v>
      </c>
      <c r="D36" s="2" t="s">
        <v>134</v>
      </c>
      <c r="E36" s="1" t="s">
        <v>201</v>
      </c>
      <c r="F36" s="1">
        <v>7</v>
      </c>
      <c r="G36" s="5">
        <v>8.5</v>
      </c>
      <c r="H36" s="4">
        <f t="shared" si="0"/>
        <v>59.5</v>
      </c>
      <c r="I36" s="3" t="s">
        <v>254</v>
      </c>
      <c r="J36" s="1" t="s">
        <v>253</v>
      </c>
    </row>
    <row r="37" spans="1:10" ht="36" x14ac:dyDescent="0.45">
      <c r="A37" s="1">
        <v>36</v>
      </c>
      <c r="B37" s="2" t="s">
        <v>25</v>
      </c>
      <c r="C37" s="2" t="s">
        <v>26</v>
      </c>
      <c r="D37" s="2" t="s">
        <v>124</v>
      </c>
      <c r="E37" s="1" t="s">
        <v>201</v>
      </c>
      <c r="F37" s="1">
        <v>12</v>
      </c>
      <c r="G37" s="5">
        <v>3.7</v>
      </c>
      <c r="H37" s="4">
        <f t="shared" si="0"/>
        <v>44.400000000000006</v>
      </c>
      <c r="I37" s="3" t="s">
        <v>244</v>
      </c>
      <c r="J37" s="1" t="s">
        <v>243</v>
      </c>
    </row>
    <row r="38" spans="1:10" x14ac:dyDescent="0.45">
      <c r="A38" s="1">
        <v>37</v>
      </c>
      <c r="B38" s="2" t="s">
        <v>31</v>
      </c>
      <c r="C38" s="2" t="s">
        <v>32</v>
      </c>
      <c r="D38" s="2" t="s">
        <v>124</v>
      </c>
      <c r="E38" s="1" t="s">
        <v>201</v>
      </c>
      <c r="F38" s="1">
        <v>4</v>
      </c>
      <c r="G38" s="5">
        <v>17.899999999999999</v>
      </c>
      <c r="H38" s="4">
        <f t="shared" si="0"/>
        <v>71.599999999999994</v>
      </c>
      <c r="I38" s="3" t="s">
        <v>241</v>
      </c>
      <c r="J38" s="1" t="s">
        <v>242</v>
      </c>
    </row>
    <row r="39" spans="1:10" x14ac:dyDescent="0.45">
      <c r="A39" s="1">
        <v>38</v>
      </c>
      <c r="B39" s="2" t="s">
        <v>29</v>
      </c>
      <c r="C39" s="2" t="s">
        <v>30</v>
      </c>
      <c r="D39" s="2" t="s">
        <v>125</v>
      </c>
      <c r="E39" s="1" t="s">
        <v>201</v>
      </c>
      <c r="F39" s="1">
        <v>1</v>
      </c>
      <c r="G39" s="5">
        <v>44.2</v>
      </c>
      <c r="H39" s="4">
        <f t="shared" si="0"/>
        <v>44.2</v>
      </c>
      <c r="I39" s="3" t="s">
        <v>239</v>
      </c>
      <c r="J39" s="1" t="s">
        <v>240</v>
      </c>
    </row>
    <row r="40" spans="1:10" x14ac:dyDescent="0.45">
      <c r="A40" s="1">
        <v>39</v>
      </c>
      <c r="B40" s="2" t="s">
        <v>75</v>
      </c>
      <c r="C40" s="2" t="s">
        <v>105</v>
      </c>
      <c r="D40" s="2" t="s">
        <v>133</v>
      </c>
      <c r="E40" s="1" t="s">
        <v>281</v>
      </c>
      <c r="F40" s="1">
        <v>1</v>
      </c>
      <c r="G40" s="5">
        <v>1.1000000000000001</v>
      </c>
      <c r="H40" s="4">
        <f t="shared" si="0"/>
        <v>1.1000000000000001</v>
      </c>
      <c r="I40" s="3" t="s">
        <v>282</v>
      </c>
      <c r="J40" s="1" t="s">
        <v>283</v>
      </c>
    </row>
    <row r="41" spans="1:10" x14ac:dyDescent="0.45">
      <c r="A41" s="1">
        <v>40</v>
      </c>
      <c r="B41" s="2" t="s">
        <v>61</v>
      </c>
      <c r="C41" s="2" t="s">
        <v>62</v>
      </c>
      <c r="D41" s="2" t="s">
        <v>238</v>
      </c>
      <c r="E41" s="1" t="s">
        <v>281</v>
      </c>
      <c r="F41" s="1">
        <v>1</v>
      </c>
      <c r="G41" s="5">
        <v>0.7</v>
      </c>
      <c r="H41" s="4">
        <f t="shared" si="0"/>
        <v>0.7</v>
      </c>
      <c r="I41" s="3" t="s">
        <v>284</v>
      </c>
      <c r="J41" s="1" t="s">
        <v>285</v>
      </c>
    </row>
    <row r="42" spans="1:10" ht="36" x14ac:dyDescent="0.45">
      <c r="A42" s="1">
        <v>41</v>
      </c>
      <c r="B42" s="2" t="s">
        <v>69</v>
      </c>
      <c r="C42" s="2" t="s">
        <v>70</v>
      </c>
      <c r="D42" s="2" t="s">
        <v>238</v>
      </c>
      <c r="E42" s="1" t="s">
        <v>281</v>
      </c>
      <c r="F42" s="1">
        <v>16</v>
      </c>
      <c r="G42" s="5">
        <v>0.5</v>
      </c>
      <c r="H42" s="4">
        <f t="shared" si="0"/>
        <v>8</v>
      </c>
      <c r="I42" s="3" t="s">
        <v>286</v>
      </c>
      <c r="J42" s="1" t="s">
        <v>287</v>
      </c>
    </row>
    <row r="43" spans="1:10" x14ac:dyDescent="0.45">
      <c r="A43" s="1">
        <v>42</v>
      </c>
      <c r="B43" s="2" t="s">
        <v>78</v>
      </c>
      <c r="C43" s="2" t="s">
        <v>79</v>
      </c>
      <c r="D43" s="2" t="s">
        <v>133</v>
      </c>
      <c r="E43" s="1" t="s">
        <v>281</v>
      </c>
      <c r="F43" s="1">
        <v>1</v>
      </c>
      <c r="G43" s="5">
        <v>1.1000000000000001</v>
      </c>
      <c r="H43" s="4">
        <f t="shared" si="0"/>
        <v>1.1000000000000001</v>
      </c>
      <c r="I43" s="3" t="s">
        <v>289</v>
      </c>
      <c r="J43" s="1" t="s">
        <v>288</v>
      </c>
    </row>
    <row r="44" spans="1:10" x14ac:dyDescent="0.45">
      <c r="A44" s="1">
        <v>43</v>
      </c>
      <c r="B44" s="2" t="s">
        <v>55</v>
      </c>
      <c r="C44" s="2" t="s">
        <v>56</v>
      </c>
      <c r="D44" s="2" t="s">
        <v>133</v>
      </c>
      <c r="E44" s="1" t="s">
        <v>281</v>
      </c>
      <c r="F44" s="1">
        <v>2</v>
      </c>
      <c r="G44" s="5">
        <v>2.4</v>
      </c>
      <c r="H44" s="4">
        <f t="shared" si="0"/>
        <v>4.8</v>
      </c>
      <c r="I44" s="3" t="s">
        <v>291</v>
      </c>
      <c r="J44" s="1" t="s">
        <v>290</v>
      </c>
    </row>
    <row r="45" spans="1:10" x14ac:dyDescent="0.45">
      <c r="A45" s="1">
        <v>44</v>
      </c>
      <c r="B45" s="2" t="s">
        <v>76</v>
      </c>
      <c r="C45" s="2" t="s">
        <v>77</v>
      </c>
      <c r="D45" s="2" t="s">
        <v>133</v>
      </c>
      <c r="E45" s="1" t="s">
        <v>281</v>
      </c>
      <c r="F45" s="1">
        <v>2</v>
      </c>
      <c r="G45" s="5">
        <v>0.5</v>
      </c>
      <c r="H45" s="4">
        <f t="shared" si="0"/>
        <v>1</v>
      </c>
      <c r="I45" s="3" t="s">
        <v>292</v>
      </c>
      <c r="J45" s="1" t="s">
        <v>293</v>
      </c>
    </row>
    <row r="46" spans="1:10" ht="36" x14ac:dyDescent="0.45">
      <c r="A46" s="1">
        <v>45</v>
      </c>
      <c r="B46" s="2" t="s">
        <v>57</v>
      </c>
      <c r="C46" s="2" t="s">
        <v>58</v>
      </c>
      <c r="D46" s="2" t="s">
        <v>238</v>
      </c>
      <c r="E46" s="1" t="s">
        <v>281</v>
      </c>
      <c r="F46" s="1">
        <v>16</v>
      </c>
      <c r="G46" s="5">
        <v>1.1000000000000001</v>
      </c>
      <c r="H46" s="4">
        <f t="shared" si="0"/>
        <v>17.600000000000001</v>
      </c>
      <c r="I46" s="3" t="s">
        <v>294</v>
      </c>
      <c r="J46" s="1" t="s">
        <v>295</v>
      </c>
    </row>
    <row r="47" spans="1:10" x14ac:dyDescent="0.45">
      <c r="A47" s="1">
        <v>46</v>
      </c>
      <c r="B47" s="2" t="s">
        <v>67</v>
      </c>
      <c r="C47" s="2" t="s">
        <v>68</v>
      </c>
      <c r="D47" s="2" t="s">
        <v>133</v>
      </c>
      <c r="E47" s="1" t="s">
        <v>281</v>
      </c>
      <c r="F47" s="1">
        <v>2</v>
      </c>
      <c r="G47" s="5">
        <v>1.3</v>
      </c>
      <c r="H47" s="4">
        <f t="shared" si="0"/>
        <v>2.6</v>
      </c>
      <c r="I47" s="3" t="s">
        <v>296</v>
      </c>
      <c r="J47" s="1" t="s">
        <v>297</v>
      </c>
    </row>
    <row r="48" spans="1:10" x14ac:dyDescent="0.45">
      <c r="A48" s="1">
        <v>47</v>
      </c>
      <c r="B48" s="2" t="s">
        <v>59</v>
      </c>
      <c r="C48" s="2" t="s">
        <v>60</v>
      </c>
      <c r="D48" s="2" t="s">
        <v>238</v>
      </c>
      <c r="E48" s="1" t="s">
        <v>281</v>
      </c>
      <c r="F48" s="1">
        <v>1</v>
      </c>
      <c r="G48" s="5">
        <v>2.4</v>
      </c>
      <c r="H48" s="4">
        <f t="shared" si="0"/>
        <v>2.4</v>
      </c>
      <c r="I48" s="3" t="s">
        <v>298</v>
      </c>
      <c r="J48" s="1" t="s">
        <v>299</v>
      </c>
    </row>
    <row r="49" spans="1:10" x14ac:dyDescent="0.45">
      <c r="A49" s="1">
        <v>48</v>
      </c>
      <c r="B49" s="2" t="s">
        <v>80</v>
      </c>
      <c r="C49" s="2" t="s">
        <v>81</v>
      </c>
      <c r="D49" s="2" t="s">
        <v>238</v>
      </c>
      <c r="E49" s="1" t="s">
        <v>281</v>
      </c>
      <c r="F49" s="1">
        <v>1</v>
      </c>
      <c r="G49" s="5">
        <v>2</v>
      </c>
      <c r="H49" s="4">
        <f t="shared" si="0"/>
        <v>2</v>
      </c>
      <c r="I49" s="3" t="s">
        <v>300</v>
      </c>
      <c r="J49" s="1" t="s">
        <v>301</v>
      </c>
    </row>
    <row r="50" spans="1:10" x14ac:dyDescent="0.45">
      <c r="A50" s="1">
        <v>49</v>
      </c>
      <c r="B50" s="2" t="s">
        <v>53</v>
      </c>
      <c r="C50" s="2" t="s">
        <v>54</v>
      </c>
      <c r="D50" s="2" t="s">
        <v>133</v>
      </c>
      <c r="E50" s="1" t="s">
        <v>281</v>
      </c>
      <c r="F50" s="1">
        <v>10</v>
      </c>
      <c r="G50" s="5">
        <v>2</v>
      </c>
      <c r="H50" s="4">
        <f t="shared" si="0"/>
        <v>20</v>
      </c>
      <c r="I50" s="3" t="s">
        <v>300</v>
      </c>
      <c r="J50" s="1" t="s">
        <v>301</v>
      </c>
    </row>
    <row r="51" spans="1:10" x14ac:dyDescent="0.45">
      <c r="A51" s="1">
        <v>50</v>
      </c>
      <c r="B51" s="2" t="s">
        <v>51</v>
      </c>
      <c r="C51" s="2" t="s">
        <v>52</v>
      </c>
      <c r="D51" s="2" t="s">
        <v>133</v>
      </c>
      <c r="E51" s="1" t="s">
        <v>281</v>
      </c>
      <c r="F51" s="1">
        <v>8</v>
      </c>
      <c r="G51" s="5">
        <v>1</v>
      </c>
      <c r="H51" s="4">
        <f t="shared" si="0"/>
        <v>8</v>
      </c>
      <c r="I51" s="3" t="s">
        <v>303</v>
      </c>
      <c r="J51" s="1" t="s">
        <v>302</v>
      </c>
    </row>
    <row r="52" spans="1:10" x14ac:dyDescent="0.45">
      <c r="A52" s="1">
        <v>51</v>
      </c>
      <c r="B52" s="2" t="s">
        <v>71</v>
      </c>
      <c r="C52" s="2" t="s">
        <v>72</v>
      </c>
      <c r="D52" s="2" t="s">
        <v>238</v>
      </c>
      <c r="E52" s="1" t="s">
        <v>281</v>
      </c>
      <c r="F52" s="1">
        <v>1</v>
      </c>
      <c r="G52" s="5">
        <v>0.7</v>
      </c>
      <c r="H52" s="4">
        <f t="shared" si="0"/>
        <v>0.7</v>
      </c>
      <c r="I52" s="3" t="s">
        <v>305</v>
      </c>
      <c r="J52" s="1" t="s">
        <v>304</v>
      </c>
    </row>
    <row r="53" spans="1:10" x14ac:dyDescent="0.45">
      <c r="A53" s="1">
        <v>52</v>
      </c>
      <c r="B53" s="2" t="s">
        <v>73</v>
      </c>
      <c r="C53" s="2" t="s">
        <v>74</v>
      </c>
      <c r="D53" s="2" t="s">
        <v>238</v>
      </c>
      <c r="E53" s="1" t="s">
        <v>281</v>
      </c>
      <c r="F53" s="1">
        <v>4</v>
      </c>
      <c r="G53" s="5">
        <v>0.7</v>
      </c>
      <c r="H53" s="4">
        <f t="shared" si="0"/>
        <v>2.8</v>
      </c>
      <c r="I53" s="3" t="s">
        <v>306</v>
      </c>
      <c r="J53" s="1" t="s">
        <v>307</v>
      </c>
    </row>
    <row r="54" spans="1:10" x14ac:dyDescent="0.45">
      <c r="A54" s="1">
        <v>53</v>
      </c>
      <c r="B54" s="2" t="s">
        <v>63</v>
      </c>
      <c r="C54" s="2" t="s">
        <v>64</v>
      </c>
      <c r="D54" s="2" t="s">
        <v>133</v>
      </c>
      <c r="E54" s="1" t="s">
        <v>281</v>
      </c>
      <c r="F54" s="1">
        <v>2</v>
      </c>
      <c r="G54" s="5">
        <v>0.7</v>
      </c>
      <c r="H54" s="4">
        <f t="shared" si="0"/>
        <v>1.4</v>
      </c>
      <c r="I54" s="3" t="s">
        <v>306</v>
      </c>
      <c r="J54" s="1" t="s">
        <v>307</v>
      </c>
    </row>
    <row r="55" spans="1:10" x14ac:dyDescent="0.45">
      <c r="A55" s="1">
        <v>54</v>
      </c>
      <c r="B55" s="2" t="s">
        <v>65</v>
      </c>
      <c r="C55" s="2" t="s">
        <v>66</v>
      </c>
      <c r="D55" s="2" t="s">
        <v>238</v>
      </c>
      <c r="E55" s="1" t="s">
        <v>281</v>
      </c>
      <c r="F55" s="1">
        <v>1</v>
      </c>
      <c r="G55" s="5">
        <v>1.1000000000000001</v>
      </c>
      <c r="H55" s="4">
        <f t="shared" si="0"/>
        <v>1.1000000000000001</v>
      </c>
      <c r="I55" s="3" t="s">
        <v>308</v>
      </c>
      <c r="J55" s="1" t="s">
        <v>309</v>
      </c>
    </row>
    <row r="56" spans="1:10" x14ac:dyDescent="0.45">
      <c r="A56" s="1">
        <v>55</v>
      </c>
      <c r="B56" s="2" t="s">
        <v>3</v>
      </c>
      <c r="C56" s="8" t="s">
        <v>230</v>
      </c>
      <c r="D56" s="2" t="s">
        <v>229</v>
      </c>
      <c r="E56" s="1" t="s">
        <v>221</v>
      </c>
      <c r="F56" s="1">
        <v>3</v>
      </c>
      <c r="G56" s="5">
        <v>16</v>
      </c>
      <c r="H56" s="4">
        <f t="shared" si="0"/>
        <v>48</v>
      </c>
      <c r="I56" s="3" t="s">
        <v>227</v>
      </c>
      <c r="J56" s="1" t="s">
        <v>228</v>
      </c>
    </row>
    <row r="57" spans="1:10" x14ac:dyDescent="0.45">
      <c r="A57" s="1">
        <v>56</v>
      </c>
      <c r="B57" s="2" t="s">
        <v>4</v>
      </c>
      <c r="C57" s="8" t="s">
        <v>231</v>
      </c>
      <c r="D57" s="2" t="s">
        <v>226</v>
      </c>
      <c r="E57" s="1" t="s">
        <v>221</v>
      </c>
      <c r="F57" s="1">
        <v>1</v>
      </c>
      <c r="G57" s="5">
        <v>16</v>
      </c>
      <c r="H57" s="4">
        <f t="shared" si="0"/>
        <v>16</v>
      </c>
      <c r="I57" s="3" t="s">
        <v>232</v>
      </c>
      <c r="J57" s="1" t="s">
        <v>233</v>
      </c>
    </row>
    <row r="58" spans="1:10" x14ac:dyDescent="0.45">
      <c r="A58" s="1">
        <v>57</v>
      </c>
      <c r="B58" s="2" t="s">
        <v>5</v>
      </c>
      <c r="C58" s="8" t="s">
        <v>224</v>
      </c>
      <c r="D58" s="2" t="s">
        <v>225</v>
      </c>
      <c r="E58" s="1" t="s">
        <v>221</v>
      </c>
      <c r="F58" s="1">
        <v>1</v>
      </c>
      <c r="G58" s="5">
        <v>16</v>
      </c>
      <c r="H58" s="4">
        <f t="shared" si="0"/>
        <v>16</v>
      </c>
      <c r="I58" s="3" t="s">
        <v>222</v>
      </c>
      <c r="J58" s="1" t="s">
        <v>223</v>
      </c>
    </row>
    <row r="59" spans="1:10" x14ac:dyDescent="0.45">
      <c r="A59" s="1">
        <v>58</v>
      </c>
      <c r="B59" s="2" t="s">
        <v>38</v>
      </c>
      <c r="C59" s="2" t="s">
        <v>269</v>
      </c>
      <c r="D59" s="2" t="s">
        <v>272</v>
      </c>
      <c r="E59" s="1" t="s">
        <v>270</v>
      </c>
      <c r="F59" s="1">
        <v>8</v>
      </c>
      <c r="G59" s="5">
        <v>89.7</v>
      </c>
      <c r="H59" s="4">
        <f t="shared" si="0"/>
        <v>717.6</v>
      </c>
      <c r="J59" s="1" t="s">
        <v>268</v>
      </c>
    </row>
    <row r="60" spans="1:10" ht="15" customHeight="1" x14ac:dyDescent="0.45">
      <c r="A60" s="1">
        <v>59</v>
      </c>
      <c r="B60" s="2" t="s">
        <v>39</v>
      </c>
      <c r="C60" s="2" t="s">
        <v>40</v>
      </c>
      <c r="D60" s="2" t="s">
        <v>106</v>
      </c>
      <c r="E60" s="2" t="s">
        <v>314</v>
      </c>
      <c r="F60" s="1">
        <v>2</v>
      </c>
      <c r="G60" s="5">
        <v>16</v>
      </c>
      <c r="H60" s="4">
        <f t="shared" si="0"/>
        <v>32</v>
      </c>
      <c r="I60" s="3" t="s">
        <v>315</v>
      </c>
      <c r="J60" s="1" t="s">
        <v>313</v>
      </c>
    </row>
    <row r="61" spans="1:10" x14ac:dyDescent="0.45">
      <c r="A61" s="1">
        <v>60</v>
      </c>
      <c r="B61" s="2" t="s">
        <v>41</v>
      </c>
      <c r="C61" s="2" t="s">
        <v>42</v>
      </c>
      <c r="D61" s="2" t="s">
        <v>108</v>
      </c>
      <c r="E61" s="2" t="s">
        <v>314</v>
      </c>
      <c r="F61" s="1">
        <v>1</v>
      </c>
      <c r="G61" s="5">
        <v>16</v>
      </c>
      <c r="H61" s="4">
        <f t="shared" si="0"/>
        <v>16</v>
      </c>
      <c r="I61" s="3" t="s">
        <v>317</v>
      </c>
      <c r="J61" s="1" t="s">
        <v>316</v>
      </c>
    </row>
    <row r="62" spans="1:10" x14ac:dyDescent="0.45">
      <c r="A62" s="1">
        <v>61</v>
      </c>
      <c r="B62" s="2" t="s">
        <v>101</v>
      </c>
      <c r="C62" s="2" t="s">
        <v>99</v>
      </c>
      <c r="D62" s="2" t="s">
        <v>107</v>
      </c>
      <c r="F62" s="1">
        <v>1</v>
      </c>
      <c r="H62" s="4">
        <f t="shared" si="0"/>
        <v>0</v>
      </c>
    </row>
    <row r="63" spans="1:10" x14ac:dyDescent="0.45">
      <c r="A63" s="1">
        <v>62</v>
      </c>
      <c r="B63" s="2" t="s">
        <v>43</v>
      </c>
      <c r="C63" s="2" t="s">
        <v>212</v>
      </c>
      <c r="D63" s="2" t="s">
        <v>104</v>
      </c>
      <c r="E63" s="1" t="s">
        <v>214</v>
      </c>
      <c r="F63" s="1">
        <v>1</v>
      </c>
      <c r="G63" s="5">
        <v>176</v>
      </c>
      <c r="H63" s="4">
        <f t="shared" si="0"/>
        <v>176</v>
      </c>
      <c r="I63" s="3" t="s">
        <v>213</v>
      </c>
      <c r="J63" s="1" t="s">
        <v>215</v>
      </c>
    </row>
    <row r="64" spans="1:10" x14ac:dyDescent="0.45">
      <c r="A64" s="1">
        <v>63</v>
      </c>
      <c r="B64" s="2" t="s">
        <v>100</v>
      </c>
      <c r="C64" s="2" t="s">
        <v>126</v>
      </c>
      <c r="D64" s="2" t="s">
        <v>127</v>
      </c>
      <c r="E64" s="1" t="s">
        <v>216</v>
      </c>
      <c r="F64" s="1">
        <v>2</v>
      </c>
      <c r="G64" s="5">
        <v>231</v>
      </c>
      <c r="H64" s="4">
        <f t="shared" si="0"/>
        <v>462</v>
      </c>
      <c r="I64" s="3" t="s">
        <v>217</v>
      </c>
      <c r="J64" s="1" t="s">
        <v>218</v>
      </c>
    </row>
    <row r="65" spans="1:10" x14ac:dyDescent="0.45">
      <c r="A65" s="1">
        <v>64</v>
      </c>
      <c r="B65" s="2" t="s">
        <v>128</v>
      </c>
      <c r="C65" s="2" t="s">
        <v>129</v>
      </c>
      <c r="D65" s="2" t="s">
        <v>130</v>
      </c>
      <c r="E65" s="1" t="s">
        <v>216</v>
      </c>
      <c r="F65" s="1">
        <v>2</v>
      </c>
      <c r="G65" s="5">
        <v>354</v>
      </c>
      <c r="H65" s="4">
        <f t="shared" si="0"/>
        <v>708</v>
      </c>
      <c r="I65" s="3" t="s">
        <v>219</v>
      </c>
      <c r="J65" s="1" t="s">
        <v>220</v>
      </c>
    </row>
    <row r="66" spans="1:10" x14ac:dyDescent="0.45">
      <c r="A66" s="1">
        <v>65</v>
      </c>
      <c r="B66" s="2" t="s">
        <v>49</v>
      </c>
      <c r="C66" s="2" t="s">
        <v>50</v>
      </c>
      <c r="D66" s="2" t="s">
        <v>131</v>
      </c>
      <c r="F66" s="1">
        <v>5</v>
      </c>
      <c r="H66" s="4">
        <f t="shared" si="0"/>
        <v>0</v>
      </c>
    </row>
    <row r="67" spans="1:10" ht="36" x14ac:dyDescent="0.45">
      <c r="A67" s="1">
        <v>66</v>
      </c>
      <c r="B67" s="2" t="s">
        <v>98</v>
      </c>
      <c r="C67" s="2" t="s">
        <v>83</v>
      </c>
      <c r="D67" s="2" t="s">
        <v>132</v>
      </c>
      <c r="F67" s="1">
        <v>15</v>
      </c>
      <c r="H67" s="4">
        <f t="shared" si="0"/>
        <v>0</v>
      </c>
    </row>
    <row r="69" spans="1:10" x14ac:dyDescent="0.45">
      <c r="F69" s="1" t="s">
        <v>236</v>
      </c>
      <c r="H69" s="4">
        <f>SUM(H2:H68)</f>
        <v>47460.240000000005</v>
      </c>
    </row>
  </sheetData>
  <phoneticPr fontId="18"/>
  <hyperlinks>
    <hyperlink ref="G1" r:id="rId1" display="Price@" xr:uid="{C0D12B24-722F-4B41-AF95-AB155E0A076B}"/>
    <hyperlink ref="J9" r:id="rId2" xr:uid="{F71B8454-FD38-42BC-9111-16EDACFB3468}"/>
  </hyperlinks>
  <pageMargins left="0.7" right="0.7" top="0.75" bottom="0.75" header="0.3" footer="0.3"/>
  <pageSetup paperSize="66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v1.0_parts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ttaka</dc:creator>
  <cp:lastModifiedBy>Tomoji Takasu</cp:lastModifiedBy>
  <dcterms:created xsi:type="dcterms:W3CDTF">2026-01-18T10:24:43Z</dcterms:created>
  <dcterms:modified xsi:type="dcterms:W3CDTF">2026-01-26T05:13:50Z</dcterms:modified>
</cp:coreProperties>
</file>